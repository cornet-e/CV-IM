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net-e\GITHUB\CV-IM\"/>
    </mc:Choice>
  </mc:AlternateContent>
  <xr:revisionPtr revIDLastSave="0" documentId="13_ncr:1_{8660F029-487E-4466-9919-DBE97B4702CD}" xr6:coauthVersionLast="36" xr6:coauthVersionMax="36" xr10:uidLastSave="{00000000-0000-0000-0000-000000000000}"/>
  <bookViews>
    <workbookView xWindow="0" yWindow="0" windowWidth="27825" windowHeight="12210" xr2:uid="{86864417-4E27-4685-A4E2-9D59210BA5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H7" i="1" s="1"/>
  <c r="F7" i="1"/>
  <c r="G7" i="1"/>
  <c r="I7" i="1"/>
  <c r="J7" i="1"/>
  <c r="L7" i="1" s="1"/>
  <c r="K7" i="1"/>
  <c r="M7" i="1"/>
  <c r="P7" i="1" s="1"/>
  <c r="N7" i="1"/>
  <c r="O7" i="1"/>
  <c r="E8" i="1"/>
  <c r="F8" i="1"/>
  <c r="H8" i="1" s="1"/>
  <c r="G8" i="1"/>
  <c r="I8" i="1"/>
  <c r="L8" i="1" s="1"/>
  <c r="J8" i="1"/>
  <c r="K8" i="1"/>
  <c r="M8" i="1"/>
  <c r="N8" i="1"/>
  <c r="P8" i="1" s="1"/>
  <c r="O8" i="1"/>
  <c r="E4" i="1"/>
  <c r="H4" i="1" s="1"/>
  <c r="F4" i="1"/>
  <c r="G4" i="1"/>
  <c r="I4" i="1"/>
  <c r="J4" i="1"/>
  <c r="K4" i="1"/>
  <c r="M4" i="1"/>
  <c r="N4" i="1"/>
  <c r="O4" i="1"/>
  <c r="K16" i="1"/>
  <c r="K17" i="1"/>
  <c r="K18" i="1"/>
  <c r="K19" i="1"/>
  <c r="O16" i="1"/>
  <c r="O17" i="1"/>
  <c r="O18" i="1"/>
  <c r="O19" i="1"/>
  <c r="O20" i="1"/>
  <c r="O21" i="1"/>
  <c r="G11" i="1"/>
  <c r="G12" i="1"/>
  <c r="G13" i="1"/>
  <c r="G14" i="1"/>
  <c r="G15" i="1"/>
  <c r="G16" i="1"/>
  <c r="G17" i="1"/>
  <c r="G18" i="1"/>
  <c r="G19" i="1"/>
  <c r="G20" i="1"/>
  <c r="G21" i="1"/>
  <c r="G22" i="1"/>
  <c r="F16" i="1"/>
  <c r="H16" i="1" s="1"/>
  <c r="J16" i="1"/>
  <c r="L16" i="1" s="1"/>
  <c r="N16" i="1"/>
  <c r="E16" i="1"/>
  <c r="I16" i="1"/>
  <c r="M16" i="1"/>
  <c r="E11" i="1"/>
  <c r="H11" i="1" s="1"/>
  <c r="F11" i="1"/>
  <c r="I11" i="1"/>
  <c r="L11" i="1" s="1"/>
  <c r="J11" i="1"/>
  <c r="K11" i="1"/>
  <c r="M11" i="1"/>
  <c r="N11" i="1"/>
  <c r="O11" i="1"/>
  <c r="E12" i="1"/>
  <c r="H12" i="1" s="1"/>
  <c r="F12" i="1"/>
  <c r="I12" i="1"/>
  <c r="L12" i="1" s="1"/>
  <c r="J12" i="1"/>
  <c r="K12" i="1"/>
  <c r="M12" i="1"/>
  <c r="N12" i="1"/>
  <c r="O12" i="1"/>
  <c r="E13" i="1"/>
  <c r="H13" i="1" s="1"/>
  <c r="F13" i="1"/>
  <c r="I13" i="1"/>
  <c r="L13" i="1" s="1"/>
  <c r="J13" i="1"/>
  <c r="K13" i="1"/>
  <c r="M13" i="1"/>
  <c r="N13" i="1"/>
  <c r="O13" i="1"/>
  <c r="E14" i="1"/>
  <c r="F14" i="1"/>
  <c r="I14" i="1"/>
  <c r="J14" i="1"/>
  <c r="K14" i="1"/>
  <c r="M14" i="1"/>
  <c r="N14" i="1"/>
  <c r="O14" i="1"/>
  <c r="E15" i="1"/>
  <c r="F15" i="1"/>
  <c r="I15" i="1"/>
  <c r="J15" i="1"/>
  <c r="K15" i="1"/>
  <c r="M15" i="1"/>
  <c r="N15" i="1"/>
  <c r="O15" i="1"/>
  <c r="E17" i="1"/>
  <c r="F17" i="1"/>
  <c r="I17" i="1"/>
  <c r="J17" i="1"/>
  <c r="M17" i="1"/>
  <c r="N17" i="1"/>
  <c r="E18" i="1"/>
  <c r="F18" i="1"/>
  <c r="I18" i="1"/>
  <c r="J18" i="1"/>
  <c r="M18" i="1"/>
  <c r="N18" i="1"/>
  <c r="E19" i="1"/>
  <c r="F19" i="1"/>
  <c r="I19" i="1"/>
  <c r="J19" i="1"/>
  <c r="M19" i="1"/>
  <c r="N19" i="1"/>
  <c r="E20" i="1"/>
  <c r="F20" i="1"/>
  <c r="I20" i="1"/>
  <c r="J20" i="1"/>
  <c r="K20" i="1"/>
  <c r="M20" i="1"/>
  <c r="N20" i="1"/>
  <c r="E21" i="1"/>
  <c r="F21" i="1"/>
  <c r="I21" i="1"/>
  <c r="J21" i="1"/>
  <c r="K21" i="1"/>
  <c r="M21" i="1"/>
  <c r="N21" i="1"/>
  <c r="E22" i="1"/>
  <c r="F22" i="1"/>
  <c r="I22" i="1"/>
  <c r="J22" i="1"/>
  <c r="K22" i="1"/>
  <c r="M22" i="1"/>
  <c r="N22" i="1"/>
  <c r="O22" i="1"/>
  <c r="E3" i="1"/>
  <c r="F3" i="1"/>
  <c r="G3" i="1"/>
  <c r="I3" i="1"/>
  <c r="J3" i="1"/>
  <c r="K3" i="1"/>
  <c r="M3" i="1"/>
  <c r="N3" i="1"/>
  <c r="O3" i="1"/>
  <c r="E5" i="1"/>
  <c r="F5" i="1"/>
  <c r="G5" i="1"/>
  <c r="I5" i="1"/>
  <c r="J5" i="1"/>
  <c r="K5" i="1"/>
  <c r="M5" i="1"/>
  <c r="N5" i="1"/>
  <c r="O5" i="1"/>
  <c r="E6" i="1"/>
  <c r="F6" i="1"/>
  <c r="G6" i="1"/>
  <c r="I6" i="1"/>
  <c r="J6" i="1"/>
  <c r="K6" i="1"/>
  <c r="M6" i="1"/>
  <c r="N6" i="1"/>
  <c r="O6" i="1"/>
  <c r="E9" i="1"/>
  <c r="F9" i="1"/>
  <c r="G9" i="1"/>
  <c r="I9" i="1"/>
  <c r="J9" i="1"/>
  <c r="K9" i="1"/>
  <c r="M9" i="1"/>
  <c r="N9" i="1"/>
  <c r="P9" i="1" s="1"/>
  <c r="O9" i="1"/>
  <c r="E10" i="1"/>
  <c r="F10" i="1"/>
  <c r="G10" i="1"/>
  <c r="I10" i="1"/>
  <c r="J10" i="1"/>
  <c r="K10" i="1"/>
  <c r="M10" i="1"/>
  <c r="N10" i="1"/>
  <c r="O10" i="1"/>
  <c r="M2" i="1"/>
  <c r="H2" i="1"/>
  <c r="O2" i="1"/>
  <c r="K2" i="1"/>
  <c r="G2" i="1"/>
  <c r="N2" i="1"/>
  <c r="J2" i="1"/>
  <c r="F2" i="1"/>
  <c r="I2" i="1"/>
  <c r="L2" i="1" s="1"/>
  <c r="E2" i="1"/>
  <c r="P4" i="1" l="1"/>
  <c r="L4" i="1"/>
  <c r="P2" i="1"/>
  <c r="P13" i="1"/>
  <c r="P12" i="1"/>
  <c r="P11" i="1"/>
  <c r="P16" i="1"/>
  <c r="H22" i="1"/>
  <c r="L22" i="1"/>
  <c r="P22" i="1"/>
  <c r="H21" i="1"/>
  <c r="P21" i="1"/>
  <c r="L21" i="1"/>
  <c r="H20" i="1"/>
  <c r="P20" i="1"/>
  <c r="L20" i="1"/>
  <c r="P19" i="1"/>
  <c r="L19" i="1"/>
  <c r="H19" i="1"/>
  <c r="P18" i="1"/>
  <c r="L18" i="1"/>
  <c r="H18" i="1"/>
  <c r="H9" i="1"/>
  <c r="L3" i="1"/>
  <c r="H17" i="1"/>
  <c r="L17" i="1"/>
  <c r="P17" i="1"/>
  <c r="H5" i="1"/>
  <c r="P5" i="1"/>
  <c r="L15" i="1"/>
  <c r="H15" i="1"/>
  <c r="P15" i="1"/>
  <c r="L14" i="1"/>
  <c r="H14" i="1"/>
  <c r="P14" i="1"/>
  <c r="H10" i="1"/>
  <c r="P10" i="1"/>
  <c r="L10" i="1"/>
  <c r="L9" i="1"/>
  <c r="L6" i="1"/>
  <c r="H6" i="1"/>
  <c r="P6" i="1"/>
  <c r="L5" i="1"/>
  <c r="P3" i="1"/>
  <c r="H3" i="1"/>
</calcChain>
</file>

<file path=xl/sharedStrings.xml><?xml version="1.0" encoding="utf-8"?>
<sst xmlns="http://schemas.openxmlformats.org/spreadsheetml/2006/main" count="61" uniqueCount="58">
  <si>
    <t>Cva_min</t>
  </si>
  <si>
    <t>Bias_min</t>
  </si>
  <si>
    <t>MAU_min</t>
  </si>
  <si>
    <t>Tea_min</t>
  </si>
  <si>
    <t>Cva_desirable</t>
  </si>
  <si>
    <t>Bias_desirable</t>
  </si>
  <si>
    <t>MAU_desirable</t>
  </si>
  <si>
    <t>Tea_desirable</t>
  </si>
  <si>
    <t>Cva_opt</t>
  </si>
  <si>
    <t>Bias_opt</t>
  </si>
  <si>
    <t>MAU_opt</t>
  </si>
  <si>
    <t>Tea_opt</t>
  </si>
  <si>
    <t>WBC(10^9/L)</t>
  </si>
  <si>
    <t>RBC(10^12/L)</t>
  </si>
  <si>
    <t>HGB(g/L)</t>
  </si>
  <si>
    <t>PLT(10^9/L)</t>
  </si>
  <si>
    <t>HCT(%)</t>
  </si>
  <si>
    <t>[PLT-F(10^9/L)]</t>
  </si>
  <si>
    <t>RET#(10^9/L)</t>
  </si>
  <si>
    <t>MCV(fL)</t>
  </si>
  <si>
    <t>LYMPH#(10^9/L)</t>
  </si>
  <si>
    <t>MONO#(10^9/L)</t>
  </si>
  <si>
    <t>BASO#(10^9/L)</t>
  </si>
  <si>
    <t>EO#(10^9/L)</t>
  </si>
  <si>
    <t>NEUT#(10^9/L)</t>
  </si>
  <si>
    <t>CVI</t>
  </si>
  <si>
    <t>CVG</t>
  </si>
  <si>
    <t>Leukocytes</t>
  </si>
  <si>
    <t>Erythrocytes</t>
  </si>
  <si>
    <t>Haemoglobin (Hb)</t>
  </si>
  <si>
    <t>Haematocrit (Hct)</t>
  </si>
  <si>
    <t>Thrombocytes</t>
  </si>
  <si>
    <t>Mean platelet volume (MPV)</t>
  </si>
  <si>
    <t>Plateletcrit</t>
  </si>
  <si>
    <t>Platelet distribution wide (PDW)</t>
  </si>
  <si>
    <t>% Within-subject (CVI) estimate</t>
  </si>
  <si>
    <t>% Between-subject (CVG) estimate</t>
  </si>
  <si>
    <t>Platelet larger cell ratio (P-LCR)</t>
  </si>
  <si>
    <t>Reticulocytes</t>
  </si>
  <si>
    <t>Reticulocyte haemoglobin equivalent (RET-He)</t>
  </si>
  <si>
    <t>Mean corpuscular volume (MCV)</t>
  </si>
  <si>
    <t>Red cell distribution wide standard deviation (RDW-SD)</t>
  </si>
  <si>
    <t>Lymphocytes</t>
  </si>
  <si>
    <t>Monocytes</t>
  </si>
  <si>
    <t>Basophils</t>
  </si>
  <si>
    <t>Eosinophils</t>
  </si>
  <si>
    <t>Neutrophils</t>
  </si>
  <si>
    <t>RET-He(pg)</t>
  </si>
  <si>
    <t>MPV(fL)</t>
  </si>
  <si>
    <t>RDW-CV(%)</t>
  </si>
  <si>
    <t>Mesurande_EFLM</t>
  </si>
  <si>
    <t>Mesurande_XR</t>
  </si>
  <si>
    <t>k(MAU)</t>
  </si>
  <si>
    <t>Mean corpuscular haemoglobin concentration (MCHC)</t>
  </si>
  <si>
    <t>Mean corpuscular haemoglobin (MCH)</t>
  </si>
  <si>
    <t>U_souhaitable_PBQ</t>
  </si>
  <si>
    <t>MCHC(g/dL)</t>
  </si>
  <si>
    <t>MCH(pg)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</si>
</sst>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0" applyNumberFormat="1"/>
    <xf numFmtId="0" fontId="3" fillId="0" borderId="0" xfId="0" applyFont="1"/>
    <xf numFmtId="164" fontId="0" fillId="0" borderId="1" xfId="0" applyNumberFormat="1" applyBorder="1"/>
    <xf numFmtId="164" fontId="0" fillId="0" borderId="0" xfId="0" applyNumberForma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0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9525</xdr:colOff>
      <xdr:row>8</xdr:row>
      <xdr:rowOff>161925</xdr:rowOff>
    </xdr:from>
    <xdr:to>
      <xdr:col>27</xdr:col>
      <xdr:colOff>734377</xdr:colOff>
      <xdr:row>53</xdr:row>
      <xdr:rowOff>163121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E83A06F-61C4-4604-BDB9-9A3B7E8D5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30575" y="1143000"/>
          <a:ext cx="6820852" cy="8573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7B0-1553-4E40-94BB-F3DD0E6A8175}">
  <dimension ref="A1:U22"/>
  <sheetViews>
    <sheetView tabSelected="1" workbookViewId="0">
      <selection activeCell="B8" sqref="B8"/>
    </sheetView>
  </sheetViews>
  <sheetFormatPr baseColWidth="10" defaultRowHeight="15" x14ac:dyDescent="0.25"/>
  <cols>
    <col min="1" max="1" width="17.85546875" customWidth="1"/>
    <col min="2" max="2" width="17" customWidth="1"/>
    <col min="3" max="3" width="17" style="6" customWidth="1"/>
    <col min="4" max="4" width="17" style="8" customWidth="1"/>
    <col min="5" max="5" width="11.42578125" style="6"/>
    <col min="6" max="8" width="11.42578125" style="7"/>
    <col min="9" max="9" width="11.42578125" style="6"/>
    <col min="13" max="13" width="11.42578125" style="6"/>
    <col min="17" max="18" width="11.42578125" style="6"/>
    <col min="19" max="19" width="11.42578125" style="7"/>
  </cols>
  <sheetData>
    <row r="1" spans="1:21" s="9" customFormat="1" x14ac:dyDescent="0.25">
      <c r="A1" s="9" t="s">
        <v>50</v>
      </c>
      <c r="B1" s="9" t="s">
        <v>51</v>
      </c>
      <c r="C1" s="10" t="s">
        <v>25</v>
      </c>
      <c r="D1" s="11" t="s">
        <v>26</v>
      </c>
      <c r="E1" s="10" t="s">
        <v>0</v>
      </c>
      <c r="F1" s="9" t="s">
        <v>1</v>
      </c>
      <c r="G1" s="9" t="s">
        <v>2</v>
      </c>
      <c r="H1" s="9" t="s">
        <v>3</v>
      </c>
      <c r="I1" s="10" t="s">
        <v>4</v>
      </c>
      <c r="J1" s="9" t="s">
        <v>5</v>
      </c>
      <c r="K1" s="9" t="s">
        <v>6</v>
      </c>
      <c r="L1" s="9" t="s">
        <v>7</v>
      </c>
      <c r="M1" s="10" t="s">
        <v>8</v>
      </c>
      <c r="N1" s="9" t="s">
        <v>9</v>
      </c>
      <c r="O1" s="9" t="s">
        <v>10</v>
      </c>
      <c r="P1" s="9" t="s">
        <v>11</v>
      </c>
      <c r="Q1" s="10" t="s">
        <v>52</v>
      </c>
      <c r="R1" s="10" t="s">
        <v>55</v>
      </c>
    </row>
    <row r="2" spans="1:21" x14ac:dyDescent="0.25">
      <c r="A2" t="s">
        <v>27</v>
      </c>
      <c r="B2" s="1" t="s">
        <v>12</v>
      </c>
      <c r="C2" s="6">
        <v>11.1</v>
      </c>
      <c r="D2" s="8">
        <v>16.899999999999999</v>
      </c>
      <c r="E2" s="4">
        <f>0.75*C2</f>
        <v>8.3249999999999993</v>
      </c>
      <c r="F2" s="5">
        <f>0.375*SQRT((C2^2+D2^2))</f>
        <v>7.5822366423107628</v>
      </c>
      <c r="G2" s="12">
        <f>Q2*0.75*C2</f>
        <v>16.649999999999999</v>
      </c>
      <c r="H2" s="5">
        <f>1.65*E2+F2</f>
        <v>21.318486642310759</v>
      </c>
      <c r="I2" s="4">
        <f>0.5*C2</f>
        <v>5.55</v>
      </c>
      <c r="J2" s="2">
        <f>0.25*SQRT((C2^2+D2^2))</f>
        <v>5.0548244282071755</v>
      </c>
      <c r="K2" s="13">
        <f>Q2*0.5*C2</f>
        <v>11.1</v>
      </c>
      <c r="L2" s="2">
        <f>1.65*I2+J2</f>
        <v>14.212324428207175</v>
      </c>
      <c r="M2" s="4">
        <f>0.25*C2</f>
        <v>2.7749999999999999</v>
      </c>
      <c r="N2" s="2">
        <f>0.125*SQRT((C2^2+D2^2))</f>
        <v>2.5274122141035877</v>
      </c>
      <c r="O2" s="13">
        <f>Q2*0.25*C2</f>
        <v>5.55</v>
      </c>
      <c r="P2" s="2">
        <f>1.65*M2+N2</f>
        <v>7.1061622141035876</v>
      </c>
      <c r="Q2" s="6">
        <v>2</v>
      </c>
      <c r="R2" s="6">
        <v>14.8</v>
      </c>
    </row>
    <row r="3" spans="1:21" x14ac:dyDescent="0.25">
      <c r="A3" t="s">
        <v>28</v>
      </c>
      <c r="B3" s="1" t="s">
        <v>13</v>
      </c>
      <c r="C3" s="6">
        <v>2.8</v>
      </c>
      <c r="D3" s="8">
        <v>7</v>
      </c>
      <c r="E3" s="4">
        <f t="shared" ref="E3:E10" si="0">0.75*C3</f>
        <v>2.0999999999999996</v>
      </c>
      <c r="F3" s="5">
        <f t="shared" ref="F3:F10" si="1">0.375*SQRT((C3^2+D3^2))</f>
        <v>2.8272115237456146</v>
      </c>
      <c r="G3" s="12">
        <f>Q3*0.75*C3</f>
        <v>4.1999999999999993</v>
      </c>
      <c r="H3" s="5">
        <f t="shared" ref="H3:H10" si="2">1.65*E3+F3</f>
        <v>6.292211523745614</v>
      </c>
      <c r="I3" s="4">
        <f t="shared" ref="I3:I10" si="3">0.5*C3</f>
        <v>1.4</v>
      </c>
      <c r="J3" s="2">
        <f t="shared" ref="J3:J10" si="4">0.25*SQRT((C3^2+D3^2))</f>
        <v>1.8848076824970763</v>
      </c>
      <c r="K3" s="13">
        <f>Q3*0.5*C3</f>
        <v>2.8</v>
      </c>
      <c r="L3" s="2">
        <f t="shared" ref="L3:L10" si="5">1.65*I3+J3</f>
        <v>4.1948076824970757</v>
      </c>
      <c r="M3" s="4">
        <f t="shared" ref="M3:M10" si="6">0.25*C3</f>
        <v>0.7</v>
      </c>
      <c r="N3" s="2">
        <f t="shared" ref="N3:N10" si="7">0.125*SQRT((C3^2+D3^2))</f>
        <v>0.94240384124853815</v>
      </c>
      <c r="O3" s="13">
        <f>Q3*0.25*C3</f>
        <v>1.4</v>
      </c>
      <c r="P3" s="2">
        <f t="shared" ref="P3:P10" si="8">1.65*M3+N3</f>
        <v>2.0974038412485378</v>
      </c>
      <c r="Q3" s="6">
        <v>2</v>
      </c>
      <c r="R3" s="6">
        <v>4.5999999999999996</v>
      </c>
    </row>
    <row r="4" spans="1:21" x14ac:dyDescent="0.25">
      <c r="A4" t="s">
        <v>41</v>
      </c>
      <c r="B4" s="1" t="s">
        <v>49</v>
      </c>
      <c r="C4" s="6">
        <v>1.7</v>
      </c>
      <c r="D4" s="8">
        <v>4.3</v>
      </c>
      <c r="E4" s="4">
        <f t="shared" ref="E4" si="9">0.75*C4</f>
        <v>1.2749999999999999</v>
      </c>
      <c r="F4" s="5">
        <f t="shared" ref="F4" si="10">0.375*SQRT((C4^2+D4^2))</f>
        <v>1.7339442032545338</v>
      </c>
      <c r="G4" s="12">
        <f>Q4*0.75*C4</f>
        <v>2.5499999999999998</v>
      </c>
      <c r="H4" s="5">
        <f t="shared" ref="H4" si="11">1.65*E4+F4</f>
        <v>3.8376942032545336</v>
      </c>
      <c r="I4" s="4">
        <f t="shared" ref="I4" si="12">0.5*C4</f>
        <v>0.85</v>
      </c>
      <c r="J4" s="2">
        <f t="shared" ref="J4" si="13">0.25*SQRT((C4^2+D4^2))</f>
        <v>1.1559628021696893</v>
      </c>
      <c r="K4" s="13">
        <f>Q4*0.5*C4</f>
        <v>1.7</v>
      </c>
      <c r="L4" s="2">
        <f t="shared" ref="L4" si="14">1.65*I4+J4</f>
        <v>2.5584628021696894</v>
      </c>
      <c r="M4" s="4">
        <f t="shared" ref="M4" si="15">0.25*C4</f>
        <v>0.42499999999999999</v>
      </c>
      <c r="N4" s="2">
        <f t="shared" ref="N4" si="16">0.125*SQRT((C4^2+D4^2))</f>
        <v>0.57798140108484464</v>
      </c>
      <c r="O4" s="13">
        <f>Q4*0.25*C4</f>
        <v>0.85</v>
      </c>
      <c r="P4" s="2">
        <f t="shared" ref="P4" si="17">1.65*M4+N4</f>
        <v>1.2792314010848447</v>
      </c>
      <c r="Q4" s="6">
        <v>2</v>
      </c>
      <c r="R4" s="6">
        <v>2.9</v>
      </c>
    </row>
    <row r="5" spans="1:21" ht="17.25" x14ac:dyDescent="0.3">
      <c r="A5" t="s">
        <v>29</v>
      </c>
      <c r="B5" s="1" t="s">
        <v>14</v>
      </c>
      <c r="C5" s="6">
        <v>2.7</v>
      </c>
      <c r="D5" s="8">
        <v>6.1</v>
      </c>
      <c r="E5" s="4">
        <f t="shared" si="0"/>
        <v>2.0250000000000004</v>
      </c>
      <c r="F5" s="5">
        <f t="shared" si="1"/>
        <v>2.5015620120236872</v>
      </c>
      <c r="G5" s="12">
        <f>Q5*0.75*C5</f>
        <v>4.0500000000000007</v>
      </c>
      <c r="H5" s="5">
        <f t="shared" si="2"/>
        <v>5.8428120120236873</v>
      </c>
      <c r="I5" s="4">
        <f t="shared" si="3"/>
        <v>1.35</v>
      </c>
      <c r="J5" s="2">
        <f t="shared" si="4"/>
        <v>1.6677080080157916</v>
      </c>
      <c r="K5" s="13">
        <f>Q5*0.5*C5</f>
        <v>2.7</v>
      </c>
      <c r="L5" s="2">
        <f t="shared" si="5"/>
        <v>3.8952080080157918</v>
      </c>
      <c r="M5" s="4">
        <f t="shared" si="6"/>
        <v>0.67500000000000004</v>
      </c>
      <c r="N5" s="2">
        <f t="shared" si="7"/>
        <v>0.83385400400789578</v>
      </c>
      <c r="O5" s="13">
        <f>Q5*0.25*C5</f>
        <v>1.35</v>
      </c>
      <c r="P5" s="2">
        <f t="shared" si="8"/>
        <v>1.9476040040078959</v>
      </c>
      <c r="Q5" s="6">
        <v>2</v>
      </c>
      <c r="R5" s="6">
        <v>4.3</v>
      </c>
      <c r="T5" t="s">
        <v>25</v>
      </c>
      <c r="U5" s="3" t="s">
        <v>35</v>
      </c>
    </row>
    <row r="6" spans="1:21" ht="17.25" x14ac:dyDescent="0.3">
      <c r="A6" t="s">
        <v>30</v>
      </c>
      <c r="B6" s="1" t="s">
        <v>16</v>
      </c>
      <c r="C6" s="6">
        <v>2.8</v>
      </c>
      <c r="D6" s="8">
        <v>5.5</v>
      </c>
      <c r="E6" s="4">
        <f t="shared" si="0"/>
        <v>2.0999999999999996</v>
      </c>
      <c r="F6" s="5">
        <f t="shared" si="1"/>
        <v>2.3143911186314208</v>
      </c>
      <c r="G6" s="12">
        <f>Q6*0.75*C6</f>
        <v>4.1999999999999993</v>
      </c>
      <c r="H6" s="5">
        <f t="shared" si="2"/>
        <v>5.7793911186314197</v>
      </c>
      <c r="I6" s="4">
        <f t="shared" si="3"/>
        <v>1.4</v>
      </c>
      <c r="J6" s="2">
        <f t="shared" si="4"/>
        <v>1.5429274124209473</v>
      </c>
      <c r="K6" s="13">
        <f>Q6*0.5*C6</f>
        <v>2.8</v>
      </c>
      <c r="L6" s="2">
        <f t="shared" si="5"/>
        <v>3.8529274124209469</v>
      </c>
      <c r="M6" s="4">
        <f t="shared" si="6"/>
        <v>0.7</v>
      </c>
      <c r="N6" s="2">
        <f t="shared" si="7"/>
        <v>0.77146370621047367</v>
      </c>
      <c r="O6" s="13">
        <f>Q6*0.25*C6</f>
        <v>1.4</v>
      </c>
      <c r="P6" s="2">
        <f t="shared" si="8"/>
        <v>1.9264637062104735</v>
      </c>
      <c r="Q6" s="6">
        <v>2</v>
      </c>
      <c r="R6" s="6">
        <v>4.2</v>
      </c>
      <c r="T6" t="s">
        <v>26</v>
      </c>
      <c r="U6" s="3" t="s">
        <v>36</v>
      </c>
    </row>
    <row r="7" spans="1:21" ht="17.25" x14ac:dyDescent="0.3">
      <c r="A7" t="s">
        <v>54</v>
      </c>
      <c r="B7" s="1" t="s">
        <v>57</v>
      </c>
      <c r="C7" s="6">
        <v>0.7</v>
      </c>
      <c r="D7" s="8">
        <v>4.5999999999999996</v>
      </c>
      <c r="E7" s="4">
        <f t="shared" ref="E7:E8" si="18">0.75*C7</f>
        <v>0.52499999999999991</v>
      </c>
      <c r="F7" s="5">
        <f t="shared" ref="F7:F8" si="19">0.375*SQRT((C7^2+D7^2))</f>
        <v>1.7448585186197758</v>
      </c>
      <c r="G7" s="12">
        <f t="shared" ref="G7:G8" si="20">Q7*0.75*C7</f>
        <v>1.0499999999999998</v>
      </c>
      <c r="H7" s="5">
        <f t="shared" ref="H7:H8" si="21">1.65*E7+F7</f>
        <v>2.6111085186197758</v>
      </c>
      <c r="I7" s="4">
        <f t="shared" ref="I7:I8" si="22">0.5*C7</f>
        <v>0.35</v>
      </c>
      <c r="J7" s="2">
        <f t="shared" ref="J7:J8" si="23">0.25*SQRT((C7^2+D7^2))</f>
        <v>1.1632390124131839</v>
      </c>
      <c r="K7" s="13">
        <f t="shared" ref="K7:K8" si="24">Q7*0.5*C7</f>
        <v>0.7</v>
      </c>
      <c r="L7" s="2">
        <f t="shared" ref="L7:L8" si="25">1.65*I7+J7</f>
        <v>1.7407390124131839</v>
      </c>
      <c r="M7" s="4">
        <f t="shared" ref="M7:M8" si="26">0.25*C7</f>
        <v>0.17499999999999999</v>
      </c>
      <c r="N7" s="2">
        <f t="shared" ref="N7:N8" si="27">0.125*SQRT((C7^2+D7^2))</f>
        <v>0.58161950620659197</v>
      </c>
      <c r="O7" s="13">
        <f t="shared" ref="O7:O8" si="28">Q7*0.25*C7</f>
        <v>0.35</v>
      </c>
      <c r="P7" s="2">
        <f t="shared" ref="P7:P8" si="29">1.65*M7+N7</f>
        <v>0.87036950620659193</v>
      </c>
      <c r="Q7" s="6">
        <v>2</v>
      </c>
      <c r="R7" s="6">
        <v>2.5</v>
      </c>
      <c r="U7" s="3"/>
    </row>
    <row r="8" spans="1:21" ht="17.25" x14ac:dyDescent="0.3">
      <c r="A8" t="s">
        <v>53</v>
      </c>
      <c r="B8" s="1" t="s">
        <v>56</v>
      </c>
      <c r="C8" s="6">
        <v>1</v>
      </c>
      <c r="D8" s="8">
        <v>1.4</v>
      </c>
      <c r="E8" s="4">
        <f t="shared" si="18"/>
        <v>0.75</v>
      </c>
      <c r="F8" s="5">
        <f t="shared" si="19"/>
        <v>0.64517439502819696</v>
      </c>
      <c r="G8" s="12">
        <f t="shared" si="20"/>
        <v>1.5</v>
      </c>
      <c r="H8" s="5">
        <f t="shared" si="21"/>
        <v>1.8826743950281968</v>
      </c>
      <c r="I8" s="4">
        <f t="shared" si="22"/>
        <v>0.5</v>
      </c>
      <c r="J8" s="2">
        <f t="shared" si="23"/>
        <v>0.43011626335213132</v>
      </c>
      <c r="K8" s="13">
        <f t="shared" si="24"/>
        <v>1</v>
      </c>
      <c r="L8" s="2">
        <f t="shared" si="25"/>
        <v>1.2551162633521313</v>
      </c>
      <c r="M8" s="4">
        <f t="shared" si="26"/>
        <v>0.25</v>
      </c>
      <c r="N8" s="2">
        <f t="shared" si="27"/>
        <v>0.21505813167606566</v>
      </c>
      <c r="O8" s="13">
        <f t="shared" si="28"/>
        <v>0.5</v>
      </c>
      <c r="P8" s="2">
        <f t="shared" si="29"/>
        <v>0.62755813167606567</v>
      </c>
      <c r="Q8" s="6">
        <v>2</v>
      </c>
      <c r="R8" s="6">
        <v>1.3</v>
      </c>
      <c r="U8" s="3"/>
    </row>
    <row r="9" spans="1:21" x14ac:dyDescent="0.25">
      <c r="A9" t="s">
        <v>31</v>
      </c>
      <c r="B9" s="1" t="s">
        <v>15</v>
      </c>
      <c r="C9" s="6">
        <v>7.3</v>
      </c>
      <c r="D9" s="8">
        <v>18.600000000000001</v>
      </c>
      <c r="E9" s="4">
        <f t="shared" si="0"/>
        <v>5.4749999999999996</v>
      </c>
      <c r="F9" s="5">
        <f t="shared" si="1"/>
        <v>7.4929654510080326</v>
      </c>
      <c r="G9" s="12">
        <f t="shared" ref="G9:G22" si="30">Q9*0.75*C9</f>
        <v>10.95</v>
      </c>
      <c r="H9" s="5">
        <f t="shared" si="2"/>
        <v>16.52671545100803</v>
      </c>
      <c r="I9" s="4">
        <f t="shared" si="3"/>
        <v>3.65</v>
      </c>
      <c r="J9" s="2">
        <f t="shared" si="4"/>
        <v>4.9953103006720214</v>
      </c>
      <c r="K9" s="13">
        <f t="shared" ref="K9:K22" si="31">Q9*0.5*C9</f>
        <v>7.3</v>
      </c>
      <c r="L9" s="2">
        <f t="shared" si="5"/>
        <v>11.017810300672021</v>
      </c>
      <c r="M9" s="4">
        <f t="shared" si="6"/>
        <v>1.825</v>
      </c>
      <c r="N9" s="2">
        <f t="shared" si="7"/>
        <v>2.4976551503360107</v>
      </c>
      <c r="O9" s="13">
        <f t="shared" ref="O9:O22" si="32">Q9*0.25*C9</f>
        <v>3.65</v>
      </c>
      <c r="P9" s="2">
        <f t="shared" si="8"/>
        <v>5.5089051503360107</v>
      </c>
      <c r="Q9" s="6">
        <v>2</v>
      </c>
      <c r="R9" s="6">
        <v>11.4</v>
      </c>
    </row>
    <row r="10" spans="1:21" x14ac:dyDescent="0.25">
      <c r="A10" t="s">
        <v>31</v>
      </c>
      <c r="B10" s="1" t="s">
        <v>17</v>
      </c>
      <c r="C10" s="6">
        <v>7.3</v>
      </c>
      <c r="D10" s="8">
        <v>18.600000000000001</v>
      </c>
      <c r="E10" s="4">
        <f t="shared" si="0"/>
        <v>5.4749999999999996</v>
      </c>
      <c r="F10" s="5">
        <f t="shared" si="1"/>
        <v>7.4929654510080326</v>
      </c>
      <c r="G10" s="12">
        <f t="shared" si="30"/>
        <v>10.95</v>
      </c>
      <c r="H10" s="5">
        <f t="shared" si="2"/>
        <v>16.52671545100803</v>
      </c>
      <c r="I10" s="4">
        <f t="shared" si="3"/>
        <v>3.65</v>
      </c>
      <c r="J10" s="2">
        <f t="shared" si="4"/>
        <v>4.9953103006720214</v>
      </c>
      <c r="K10" s="13">
        <f t="shared" si="31"/>
        <v>7.3</v>
      </c>
      <c r="L10" s="2">
        <f t="shared" si="5"/>
        <v>11.017810300672021</v>
      </c>
      <c r="M10" s="4">
        <f t="shared" si="6"/>
        <v>1.825</v>
      </c>
      <c r="N10" s="2">
        <f t="shared" si="7"/>
        <v>2.4976551503360107</v>
      </c>
      <c r="O10" s="13">
        <f t="shared" si="32"/>
        <v>3.65</v>
      </c>
      <c r="P10" s="2">
        <f t="shared" si="8"/>
        <v>5.5089051503360107</v>
      </c>
      <c r="Q10" s="6">
        <v>2</v>
      </c>
      <c r="R10" s="6">
        <v>11.4</v>
      </c>
    </row>
    <row r="11" spans="1:21" x14ac:dyDescent="0.25">
      <c r="A11" t="s">
        <v>32</v>
      </c>
      <c r="B11" s="1" t="s">
        <v>48</v>
      </c>
      <c r="C11" s="6">
        <v>2.2999999999999998</v>
      </c>
      <c r="D11" s="8">
        <v>7.1</v>
      </c>
      <c r="E11" s="4">
        <f t="shared" ref="E11:E22" si="33">0.75*C11</f>
        <v>1.7249999999999999</v>
      </c>
      <c r="F11" s="5">
        <f t="shared" ref="F11:F22" si="34">0.375*SQRT((C11^2+D11^2))</f>
        <v>2.7987162235567933</v>
      </c>
      <c r="G11" s="12">
        <f t="shared" si="30"/>
        <v>3.4499999999999997</v>
      </c>
      <c r="H11" s="5">
        <f t="shared" ref="H11:H22" si="35">1.65*E11+F11</f>
        <v>5.6449662235567928</v>
      </c>
      <c r="I11" s="4">
        <f t="shared" ref="I11:I22" si="36">0.5*C11</f>
        <v>1.1499999999999999</v>
      </c>
      <c r="J11" s="2">
        <f t="shared" ref="J11:J22" si="37">0.25*SQRT((C11^2+D11^2))</f>
        <v>1.865810815704529</v>
      </c>
      <c r="K11" s="13">
        <f t="shared" si="31"/>
        <v>2.2999999999999998</v>
      </c>
      <c r="L11" s="2">
        <f t="shared" ref="L11:L22" si="38">1.65*I11+J11</f>
        <v>3.7633108157045285</v>
      </c>
      <c r="M11" s="4">
        <f t="shared" ref="M11:M22" si="39">0.25*C11</f>
        <v>0.57499999999999996</v>
      </c>
      <c r="N11" s="2">
        <f t="shared" ref="N11:N22" si="40">0.125*SQRT((C11^2+D11^2))</f>
        <v>0.9329054078522645</v>
      </c>
      <c r="O11" s="13">
        <f t="shared" si="32"/>
        <v>1.1499999999999999</v>
      </c>
      <c r="P11" s="2">
        <f t="shared" ref="P11:P22" si="41">1.65*M11+N11</f>
        <v>1.8816554078522643</v>
      </c>
      <c r="Q11" s="6">
        <v>2</v>
      </c>
      <c r="R11" s="6">
        <v>4.4000000000000004</v>
      </c>
    </row>
    <row r="12" spans="1:21" x14ac:dyDescent="0.25">
      <c r="A12" t="s">
        <v>33</v>
      </c>
      <c r="B12" s="1"/>
      <c r="C12" s="6">
        <v>6.4</v>
      </c>
      <c r="D12" s="8">
        <v>13.5</v>
      </c>
      <c r="E12" s="4">
        <f t="shared" si="33"/>
        <v>4.8000000000000007</v>
      </c>
      <c r="F12" s="5">
        <f t="shared" si="34"/>
        <v>5.6025803207093778</v>
      </c>
      <c r="G12" s="12">
        <f t="shared" si="30"/>
        <v>9.6000000000000014</v>
      </c>
      <c r="H12" s="5">
        <f t="shared" si="35"/>
        <v>13.522580320709379</v>
      </c>
      <c r="I12" s="4">
        <f t="shared" si="36"/>
        <v>3.2</v>
      </c>
      <c r="J12" s="2">
        <f t="shared" si="37"/>
        <v>3.7350535471395854</v>
      </c>
      <c r="K12" s="13">
        <f t="shared" si="31"/>
        <v>6.4</v>
      </c>
      <c r="L12" s="2">
        <f t="shared" si="38"/>
        <v>9.0150535471395852</v>
      </c>
      <c r="M12" s="4">
        <f t="shared" si="39"/>
        <v>1.6</v>
      </c>
      <c r="N12" s="2">
        <f t="shared" si="40"/>
        <v>1.8675267735697927</v>
      </c>
      <c r="O12" s="13">
        <f t="shared" si="32"/>
        <v>3.2</v>
      </c>
      <c r="P12" s="2">
        <f t="shared" si="41"/>
        <v>4.5075267735697926</v>
      </c>
      <c r="Q12" s="6">
        <v>2</v>
      </c>
    </row>
    <row r="13" spans="1:21" x14ac:dyDescent="0.25">
      <c r="A13" t="s">
        <v>34</v>
      </c>
      <c r="B13" s="1"/>
      <c r="C13" s="6">
        <v>3.8</v>
      </c>
      <c r="D13" s="8">
        <v>12.3</v>
      </c>
      <c r="E13" s="4">
        <f t="shared" si="33"/>
        <v>2.8499999999999996</v>
      </c>
      <c r="F13" s="5">
        <f t="shared" si="34"/>
        <v>4.8276061614427501</v>
      </c>
      <c r="G13" s="12">
        <f t="shared" si="30"/>
        <v>5.6999999999999993</v>
      </c>
      <c r="H13" s="5">
        <f t="shared" si="35"/>
        <v>9.5301061614427489</v>
      </c>
      <c r="I13" s="4">
        <f t="shared" si="36"/>
        <v>1.9</v>
      </c>
      <c r="J13" s="2">
        <f t="shared" si="37"/>
        <v>3.2184041076284999</v>
      </c>
      <c r="K13" s="13">
        <f t="shared" si="31"/>
        <v>3.8</v>
      </c>
      <c r="L13" s="2">
        <f t="shared" si="38"/>
        <v>6.3534041076284993</v>
      </c>
      <c r="M13" s="4">
        <f t="shared" si="39"/>
        <v>0.95</v>
      </c>
      <c r="N13" s="2">
        <f t="shared" si="40"/>
        <v>1.60920205381425</v>
      </c>
      <c r="O13" s="13">
        <f t="shared" si="32"/>
        <v>1.9</v>
      </c>
      <c r="P13" s="2">
        <f t="shared" si="41"/>
        <v>3.1767020538142496</v>
      </c>
      <c r="Q13" s="6">
        <v>2</v>
      </c>
    </row>
    <row r="14" spans="1:21" x14ac:dyDescent="0.25">
      <c r="A14" t="s">
        <v>37</v>
      </c>
      <c r="B14" s="1"/>
      <c r="C14" s="6">
        <v>6.8</v>
      </c>
      <c r="D14" s="8">
        <v>20.9</v>
      </c>
      <c r="E14" s="4">
        <f t="shared" si="33"/>
        <v>5.0999999999999996</v>
      </c>
      <c r="F14" s="5">
        <f t="shared" si="34"/>
        <v>8.2418994321697472</v>
      </c>
      <c r="G14" s="12">
        <f t="shared" si="30"/>
        <v>10.199999999999999</v>
      </c>
      <c r="H14" s="5">
        <f t="shared" si="35"/>
        <v>16.656899432169745</v>
      </c>
      <c r="I14" s="4">
        <f t="shared" si="36"/>
        <v>3.4</v>
      </c>
      <c r="J14" s="2">
        <f t="shared" si="37"/>
        <v>5.4945996214464978</v>
      </c>
      <c r="K14" s="13">
        <f t="shared" si="31"/>
        <v>6.8</v>
      </c>
      <c r="L14" s="2">
        <f t="shared" si="38"/>
        <v>11.104599621446496</v>
      </c>
      <c r="M14" s="4">
        <f t="shared" si="39"/>
        <v>1.7</v>
      </c>
      <c r="N14" s="2">
        <f t="shared" si="40"/>
        <v>2.7472998107232489</v>
      </c>
      <c r="O14" s="13">
        <f t="shared" si="32"/>
        <v>3.4</v>
      </c>
      <c r="P14" s="2">
        <f t="shared" si="41"/>
        <v>5.5522998107232482</v>
      </c>
      <c r="Q14" s="6">
        <v>2</v>
      </c>
    </row>
    <row r="15" spans="1:21" x14ac:dyDescent="0.25">
      <c r="A15" t="s">
        <v>38</v>
      </c>
      <c r="B15" s="1" t="s">
        <v>18</v>
      </c>
      <c r="C15" s="6">
        <v>9.6999999999999993</v>
      </c>
      <c r="D15" s="8">
        <v>27.1</v>
      </c>
      <c r="E15" s="4">
        <f t="shared" si="33"/>
        <v>7.2749999999999995</v>
      </c>
      <c r="F15" s="5">
        <f t="shared" si="34"/>
        <v>10.79387847346819</v>
      </c>
      <c r="G15" s="12">
        <f t="shared" si="30"/>
        <v>14.549999999999999</v>
      </c>
      <c r="H15" s="5">
        <f t="shared" si="35"/>
        <v>22.797628473468187</v>
      </c>
      <c r="I15" s="4">
        <f t="shared" si="36"/>
        <v>4.8499999999999996</v>
      </c>
      <c r="J15" s="2">
        <f t="shared" si="37"/>
        <v>7.1959189823121275</v>
      </c>
      <c r="K15" s="13">
        <f t="shared" si="31"/>
        <v>9.6999999999999993</v>
      </c>
      <c r="L15" s="2">
        <f t="shared" si="38"/>
        <v>15.198418982312127</v>
      </c>
      <c r="M15" s="4">
        <f t="shared" si="39"/>
        <v>2.4249999999999998</v>
      </c>
      <c r="N15" s="2">
        <f t="shared" si="40"/>
        <v>3.5979594911560637</v>
      </c>
      <c r="O15" s="13">
        <f t="shared" si="32"/>
        <v>4.8499999999999996</v>
      </c>
      <c r="P15" s="2">
        <f t="shared" si="41"/>
        <v>7.5992094911560635</v>
      </c>
      <c r="Q15" s="6">
        <v>2</v>
      </c>
    </row>
    <row r="16" spans="1:21" x14ac:dyDescent="0.25">
      <c r="A16" t="s">
        <v>39</v>
      </c>
      <c r="B16" s="1" t="s">
        <v>47</v>
      </c>
      <c r="C16" s="6">
        <v>1.7</v>
      </c>
      <c r="D16" s="8">
        <v>3.4</v>
      </c>
      <c r="E16" s="4">
        <f t="shared" si="33"/>
        <v>1.2749999999999999</v>
      </c>
      <c r="F16" s="5">
        <f t="shared" si="34"/>
        <v>1.4254933356561159</v>
      </c>
      <c r="G16" s="12">
        <f t="shared" si="30"/>
        <v>2.5499999999999998</v>
      </c>
      <c r="H16" s="5">
        <f t="shared" si="35"/>
        <v>3.5292433356561155</v>
      </c>
      <c r="I16" s="4">
        <f t="shared" si="36"/>
        <v>0.85</v>
      </c>
      <c r="J16" s="2">
        <f t="shared" si="37"/>
        <v>0.95032889043741064</v>
      </c>
      <c r="K16" s="13">
        <f t="shared" si="31"/>
        <v>1.7</v>
      </c>
      <c r="L16" s="2">
        <f t="shared" si="38"/>
        <v>2.3528288904374106</v>
      </c>
      <c r="M16" s="4">
        <f t="shared" si="39"/>
        <v>0.42499999999999999</v>
      </c>
      <c r="N16" s="2">
        <f t="shared" si="40"/>
        <v>0.47516444521870532</v>
      </c>
      <c r="O16" s="13">
        <f t="shared" si="32"/>
        <v>0.85</v>
      </c>
      <c r="P16" s="2">
        <f t="shared" si="41"/>
        <v>1.1764144452187053</v>
      </c>
      <c r="Q16" s="6">
        <v>2</v>
      </c>
    </row>
    <row r="17" spans="1:18" x14ac:dyDescent="0.25">
      <c r="A17" t="s">
        <v>40</v>
      </c>
      <c r="B17" s="1" t="s">
        <v>19</v>
      </c>
      <c r="C17" s="6">
        <v>0.8</v>
      </c>
      <c r="D17" s="8">
        <v>3.9</v>
      </c>
      <c r="E17" s="4">
        <f t="shared" si="33"/>
        <v>0.60000000000000009</v>
      </c>
      <c r="F17" s="5">
        <f t="shared" si="34"/>
        <v>1.4929521928045788</v>
      </c>
      <c r="G17" s="12">
        <f t="shared" si="30"/>
        <v>1.2000000000000002</v>
      </c>
      <c r="H17" s="5">
        <f t="shared" si="35"/>
        <v>2.482952192804579</v>
      </c>
      <c r="I17" s="4">
        <f t="shared" si="36"/>
        <v>0.4</v>
      </c>
      <c r="J17" s="2">
        <f t="shared" si="37"/>
        <v>0.99530146186971913</v>
      </c>
      <c r="K17" s="13">
        <f t="shared" si="31"/>
        <v>0.8</v>
      </c>
      <c r="L17" s="2">
        <f t="shared" si="38"/>
        <v>1.655301461869719</v>
      </c>
      <c r="M17" s="4">
        <f t="shared" si="39"/>
        <v>0.2</v>
      </c>
      <c r="N17" s="2">
        <f t="shared" si="40"/>
        <v>0.49765073093485956</v>
      </c>
      <c r="O17" s="13">
        <f t="shared" si="32"/>
        <v>0.4</v>
      </c>
      <c r="P17" s="2">
        <f t="shared" si="41"/>
        <v>0.82765073093485952</v>
      </c>
      <c r="Q17" s="6">
        <v>2</v>
      </c>
      <c r="R17" s="6">
        <v>2.1</v>
      </c>
    </row>
    <row r="18" spans="1:18" x14ac:dyDescent="0.25">
      <c r="A18" t="s">
        <v>42</v>
      </c>
      <c r="B18" s="1" t="s">
        <v>20</v>
      </c>
      <c r="C18" s="6">
        <v>10.5</v>
      </c>
      <c r="D18" s="8">
        <v>22.8</v>
      </c>
      <c r="E18" s="4">
        <f t="shared" si="33"/>
        <v>7.875</v>
      </c>
      <c r="F18" s="5">
        <f t="shared" si="34"/>
        <v>9.4130975905915264</v>
      </c>
      <c r="G18" s="12">
        <f t="shared" si="30"/>
        <v>15.75</v>
      </c>
      <c r="H18" s="5">
        <f t="shared" si="35"/>
        <v>22.406847590591525</v>
      </c>
      <c r="I18" s="4">
        <f t="shared" si="36"/>
        <v>5.25</v>
      </c>
      <c r="J18" s="2">
        <f t="shared" si="37"/>
        <v>6.2753983937276843</v>
      </c>
      <c r="K18" s="13">
        <f t="shared" si="31"/>
        <v>10.5</v>
      </c>
      <c r="L18" s="2">
        <f t="shared" si="38"/>
        <v>14.937898393727684</v>
      </c>
      <c r="M18" s="4">
        <f t="shared" si="39"/>
        <v>2.625</v>
      </c>
      <c r="N18" s="2">
        <f t="shared" si="40"/>
        <v>3.1376991968638421</v>
      </c>
      <c r="O18" s="13">
        <f t="shared" si="32"/>
        <v>5.25</v>
      </c>
      <c r="P18" s="2">
        <f t="shared" si="41"/>
        <v>7.468949196863842</v>
      </c>
      <c r="Q18" s="6">
        <v>2</v>
      </c>
    </row>
    <row r="19" spans="1:18" x14ac:dyDescent="0.25">
      <c r="A19" t="s">
        <v>43</v>
      </c>
      <c r="B19" s="1" t="s">
        <v>21</v>
      </c>
      <c r="C19" s="6">
        <v>14</v>
      </c>
      <c r="D19" s="8">
        <v>23</v>
      </c>
      <c r="E19" s="4">
        <f t="shared" si="33"/>
        <v>10.5</v>
      </c>
      <c r="F19" s="5">
        <f t="shared" si="34"/>
        <v>10.097184013377195</v>
      </c>
      <c r="G19" s="12">
        <f t="shared" si="30"/>
        <v>21</v>
      </c>
      <c r="H19" s="5">
        <f t="shared" si="35"/>
        <v>27.422184013377194</v>
      </c>
      <c r="I19" s="4">
        <f t="shared" si="36"/>
        <v>7</v>
      </c>
      <c r="J19" s="2">
        <f t="shared" si="37"/>
        <v>6.7314560089181299</v>
      </c>
      <c r="K19" s="13">
        <f t="shared" si="31"/>
        <v>14</v>
      </c>
      <c r="L19" s="2">
        <f t="shared" si="38"/>
        <v>18.281456008918127</v>
      </c>
      <c r="M19" s="4">
        <f t="shared" si="39"/>
        <v>3.5</v>
      </c>
      <c r="N19" s="2">
        <f t="shared" si="40"/>
        <v>3.3657280044590649</v>
      </c>
      <c r="O19" s="13">
        <f t="shared" si="32"/>
        <v>7</v>
      </c>
      <c r="P19" s="2">
        <f t="shared" si="41"/>
        <v>9.1407280044590635</v>
      </c>
      <c r="Q19" s="6">
        <v>2</v>
      </c>
    </row>
    <row r="20" spans="1:18" x14ac:dyDescent="0.25">
      <c r="A20" t="s">
        <v>44</v>
      </c>
      <c r="B20" s="1" t="s">
        <v>22</v>
      </c>
      <c r="C20" s="6">
        <v>12.6</v>
      </c>
      <c r="D20" s="8">
        <v>28.6</v>
      </c>
      <c r="E20" s="4">
        <f t="shared" si="33"/>
        <v>9.4499999999999993</v>
      </c>
      <c r="F20" s="5">
        <f t="shared" si="34"/>
        <v>11.719694961900672</v>
      </c>
      <c r="G20" s="12">
        <f t="shared" si="30"/>
        <v>18.899999999999999</v>
      </c>
      <c r="H20" s="5">
        <f t="shared" si="35"/>
        <v>27.312194961900669</v>
      </c>
      <c r="I20" s="4">
        <f t="shared" si="36"/>
        <v>6.3</v>
      </c>
      <c r="J20" s="2">
        <f t="shared" si="37"/>
        <v>7.8131299746004483</v>
      </c>
      <c r="K20" s="13">
        <f t="shared" si="31"/>
        <v>12.6</v>
      </c>
      <c r="L20" s="2">
        <f t="shared" si="38"/>
        <v>18.208129974600446</v>
      </c>
      <c r="M20" s="4">
        <f t="shared" si="39"/>
        <v>3.15</v>
      </c>
      <c r="N20" s="2">
        <f t="shared" si="40"/>
        <v>3.9065649873002242</v>
      </c>
      <c r="O20" s="13">
        <f t="shared" si="32"/>
        <v>6.3</v>
      </c>
      <c r="P20" s="2">
        <f t="shared" si="41"/>
        <v>9.1040649873002231</v>
      </c>
      <c r="Q20" s="6">
        <v>2</v>
      </c>
    </row>
    <row r="21" spans="1:18" x14ac:dyDescent="0.25">
      <c r="A21" t="s">
        <v>45</v>
      </c>
      <c r="B21" s="1" t="s">
        <v>23</v>
      </c>
      <c r="C21" s="6">
        <v>15.1</v>
      </c>
      <c r="D21" s="8">
        <v>67.400000000000006</v>
      </c>
      <c r="E21" s="4">
        <f t="shared" si="33"/>
        <v>11.324999999999999</v>
      </c>
      <c r="F21" s="5">
        <f t="shared" si="34"/>
        <v>25.901535306811454</v>
      </c>
      <c r="G21" s="12">
        <f t="shared" si="30"/>
        <v>22.65</v>
      </c>
      <c r="H21" s="5">
        <f t="shared" si="35"/>
        <v>44.587785306811455</v>
      </c>
      <c r="I21" s="4">
        <f t="shared" si="36"/>
        <v>7.55</v>
      </c>
      <c r="J21" s="2">
        <f t="shared" si="37"/>
        <v>17.267690204540969</v>
      </c>
      <c r="K21" s="13">
        <f t="shared" si="31"/>
        <v>15.1</v>
      </c>
      <c r="L21" s="2">
        <f t="shared" si="38"/>
        <v>29.725190204540969</v>
      </c>
      <c r="M21" s="4">
        <f t="shared" si="39"/>
        <v>3.7749999999999999</v>
      </c>
      <c r="N21" s="2">
        <f t="shared" si="40"/>
        <v>8.6338451022704845</v>
      </c>
      <c r="O21" s="13">
        <f t="shared" si="32"/>
        <v>7.55</v>
      </c>
      <c r="P21" s="2">
        <f t="shared" si="41"/>
        <v>14.862595102270484</v>
      </c>
      <c r="Q21" s="6">
        <v>2</v>
      </c>
    </row>
    <row r="22" spans="1:18" x14ac:dyDescent="0.25">
      <c r="A22" t="s">
        <v>46</v>
      </c>
      <c r="B22" s="1" t="s">
        <v>24</v>
      </c>
      <c r="C22" s="6">
        <v>12.5</v>
      </c>
      <c r="D22" s="8">
        <v>25.9</v>
      </c>
      <c r="E22" s="4">
        <f t="shared" si="33"/>
        <v>9.375</v>
      </c>
      <c r="F22" s="5">
        <f t="shared" si="34"/>
        <v>10.784494077146132</v>
      </c>
      <c r="G22" s="12">
        <f t="shared" si="30"/>
        <v>18.75</v>
      </c>
      <c r="H22" s="5">
        <f t="shared" si="35"/>
        <v>26.253244077146132</v>
      </c>
      <c r="I22" s="4">
        <f t="shared" si="36"/>
        <v>6.25</v>
      </c>
      <c r="J22" s="2">
        <f t="shared" si="37"/>
        <v>7.1896627180974209</v>
      </c>
      <c r="K22" s="13">
        <f t="shared" si="31"/>
        <v>12.5</v>
      </c>
      <c r="L22" s="2">
        <f t="shared" si="38"/>
        <v>17.50216271809742</v>
      </c>
      <c r="M22" s="4">
        <f t="shared" si="39"/>
        <v>3.125</v>
      </c>
      <c r="N22" s="2">
        <f t="shared" si="40"/>
        <v>3.5948313590487104</v>
      </c>
      <c r="O22" s="13">
        <f t="shared" si="32"/>
        <v>6.25</v>
      </c>
      <c r="P22" s="2">
        <f t="shared" si="41"/>
        <v>8.75108135904871</v>
      </c>
      <c r="Q22" s="6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CORNET EDOUARD</dc:creator>
  <cp:lastModifiedBy>CORNET EDOUARD</cp:lastModifiedBy>
  <dcterms:created xsi:type="dcterms:W3CDTF">2026-01-13T13:35:59Z</dcterms:created>
  <dcterms:modified xsi:type="dcterms:W3CDTF">2026-01-13T16:52:15Z</dcterms:modified>
</cp:coreProperties>
</file>